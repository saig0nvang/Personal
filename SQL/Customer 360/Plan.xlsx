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peed\Downloads\"/>
    </mc:Choice>
  </mc:AlternateContent>
  <xr:revisionPtr revIDLastSave="0" documentId="13_ncr:1_{637F61CE-894D-4D4D-9021-3ECDAAB7D00D}" xr6:coauthVersionLast="47" xr6:coauthVersionMax="47" xr10:uidLastSave="{00000000-0000-0000-0000-000000000000}"/>
  <bookViews>
    <workbookView xWindow="-120" yWindow="-120" windowWidth="29040" windowHeight="15720" activeTab="2" xr2:uid="{95E81681-8B59-445A-893D-94484D5F3BB5}"/>
  </bookViews>
  <sheets>
    <sheet name="Document" sheetId="1" r:id="rId1"/>
    <sheet name="Description" sheetId="2" r:id="rId2"/>
    <sheet name="Proces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H9" i="3"/>
  <c r="F9" i="3"/>
</calcChain>
</file>

<file path=xl/sharedStrings.xml><?xml version="1.0" encoding="utf-8"?>
<sst xmlns="http://schemas.openxmlformats.org/spreadsheetml/2006/main" count="144" uniqueCount="101">
  <si>
    <t>Task</t>
  </si>
  <si>
    <t>Content</t>
  </si>
  <si>
    <t>Description</t>
  </si>
  <si>
    <t>RFM Analysis for Customer 360 Project</t>
  </si>
  <si>
    <t>Based on R, F, M dimension to analize and segmentate customers</t>
  </si>
  <si>
    <t>Customer Growth Rate for Business Intelligence Reporting</t>
  </si>
  <si>
    <t>Based on customer registration inf &amp; de-subcribe by date to visualize and moditor the growth</t>
  </si>
  <si>
    <t>Database content</t>
  </si>
  <si>
    <t>Tables</t>
  </si>
  <si>
    <t>Registered</t>
  </si>
  <si>
    <t>User information when registering</t>
  </si>
  <si>
    <t>Transaction</t>
  </si>
  <si>
    <t>User transation inf</t>
  </si>
  <si>
    <t>Location</t>
  </si>
  <si>
    <t>User location</t>
  </si>
  <si>
    <t>ID</t>
  </si>
  <si>
    <t>Customer ID</t>
  </si>
  <si>
    <t>Contract</t>
  </si>
  <si>
    <t>Contract No.</t>
  </si>
  <si>
    <t>LocationID</t>
  </si>
  <si>
    <t>Location code</t>
  </si>
  <si>
    <t>BranchCode</t>
  </si>
  <si>
    <t>Branch code</t>
  </si>
  <si>
    <t>Status</t>
  </si>
  <si>
    <t>created_date</t>
  </si>
  <si>
    <t>Date of register</t>
  </si>
  <si>
    <t>stop_date</t>
  </si>
  <si>
    <t>Date of cancel subcription</t>
  </si>
  <si>
    <t>Transaction ID</t>
  </si>
  <si>
    <t>CustomerID</t>
  </si>
  <si>
    <t>Purchase_Date</t>
  </si>
  <si>
    <t>Transaction date</t>
  </si>
  <si>
    <t>GMV</t>
  </si>
  <si>
    <t>Gross Monetary Value</t>
  </si>
  <si>
    <t>Index</t>
  </si>
  <si>
    <t>SubcompanyID</t>
  </si>
  <si>
    <t>SubcompanyName</t>
  </si>
  <si>
    <t>...</t>
  </si>
  <si>
    <t>RFM Model</t>
  </si>
  <si>
    <t>Abb</t>
  </si>
  <si>
    <t>Term</t>
  </si>
  <si>
    <t>Insight</t>
  </si>
  <si>
    <t>Solution/ Other concerns</t>
  </si>
  <si>
    <t>R</t>
  </si>
  <si>
    <t>Recency</t>
  </si>
  <si>
    <t>How much time has elapsed since a customer’s last activity or transaction with the brand? 
-&gt; to see if customer is active at the evaluation</t>
  </si>
  <si>
    <t>- the smaller R, the more responsive customer are
- the bigger R, the higher tendency the customer leave</t>
  </si>
  <si>
    <t>Company change/modify product to meed customer need/expectation or change policy to improve customer service</t>
  </si>
  <si>
    <t>F</t>
  </si>
  <si>
    <t>Frequency</t>
  </si>
  <si>
    <t xml:space="preserve">How often has a customer transacted or interacted with the brand during a particular period of time? </t>
  </si>
  <si>
    <t>- customers with frequent activities are more engaged, and probably more loyal, than customers who rarely do so.  
- one-time-only customers are in a class of their own.</t>
  </si>
  <si>
    <t xml:space="preserve"> - if evaluate value of customer, need to combine F &amp; M</t>
  </si>
  <si>
    <t>M</t>
  </si>
  <si>
    <t>Monetary</t>
  </si>
  <si>
    <t>How much a customer has spent with the brand during a particular period of time?
-&gt; the most important factor affecting Revenue</t>
  </si>
  <si>
    <t>- Big spenders should usually be treated differently than customers who spend little.</t>
  </si>
  <si>
    <t>- Also need to consider: M/F -&gt; average purchase amount, when segmenting customer</t>
  </si>
  <si>
    <t>=&gt;  divide the customer into 4 tiers for each dimension</t>
  </si>
  <si>
    <t>RFM</t>
  </si>
  <si>
    <t>Calculate Recency, Frequency, and Monetary dimension</t>
  </si>
  <si>
    <t>=</t>
  </si>
  <si>
    <t>dateif (date of last transaction, date of evaluation)</t>
  </si>
  <si>
    <t>NOTE: need to reverse from positive to negative since the bigger the R, the negative it is</t>
  </si>
  <si>
    <t>count (distinct `purchase date`)</t>
  </si>
  <si>
    <t>sum(gmv)</t>
  </si>
  <si>
    <t>Divide 4 tiers each dimension using InterQuartile Range method</t>
  </si>
  <si>
    <t>Define:</t>
  </si>
  <si>
    <t>Min</t>
  </si>
  <si>
    <t>Max</t>
  </si>
  <si>
    <t>(IQR method)</t>
  </si>
  <si>
    <t>(ex</t>
  </si>
  <si>
    <t>…</t>
  </si>
  <si>
    <t>=&gt; RFM</t>
  </si>
  <si>
    <t>Customer:</t>
  </si>
  <si>
    <t>Robert</t>
  </si>
  <si>
    <t>Tier</t>
  </si>
  <si>
    <t>R-tier-3</t>
  </si>
  <si>
    <t>F-tier-4</t>
  </si>
  <si>
    <t>RFM:</t>
  </si>
  <si>
    <t>M-tier-2</t>
  </si>
  <si>
    <t>STAR (VIP)</t>
  </si>
  <si>
    <t>QUESTION MARK (Potential)</t>
  </si>
  <si>
    <t>4, 3</t>
  </si>
  <si>
    <t>2, 1</t>
  </si>
  <si>
    <t>CASH COW (Standard)</t>
  </si>
  <si>
    <t>DOG (About-to-quit)</t>
  </si>
  <si>
    <t>=&gt; count(distinct) total:</t>
  </si>
  <si>
    <t>3, 2, 1</t>
  </si>
  <si>
    <t xml:space="preserve">=&gt; </t>
  </si>
  <si>
    <t>Segmentate Customer:</t>
  </si>
  <si>
    <t>Method 1</t>
  </si>
  <si>
    <t>Use model (BCG,…)</t>
  </si>
  <si>
    <t>Method 2</t>
  </si>
  <si>
    <t>Clasify base on standard distribution of tier mark (using histogram)</t>
  </si>
  <si>
    <t>Example</t>
  </si>
  <si>
    <t>source: https://phamdinhkhanh.github.io/</t>
  </si>
  <si>
    <t>- Low potential customer - Low label: rank from 0 - 4</t>
  </si>
  <si>
    <t>- Regualar customers - Normal: rank from 4 - 7</t>
  </si>
  <si>
    <t>- VIP customer: VIP: rank from 7 - 9</t>
  </si>
  <si>
    <t>source: optivmove.com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</si>
</sst>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3" xfId="0" applyFont="1" applyFill="1" applyBorder="1"/>
    <xf numFmtId="0" fontId="2" fillId="0" borderId="4" xfId="0" applyFont="1" applyBorder="1"/>
    <xf numFmtId="0" fontId="3" fillId="0" borderId="5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8" xfId="0" applyFont="1" applyBorder="1"/>
    <xf numFmtId="0" fontId="1" fillId="2" borderId="3" xfId="0" applyFont="1" applyFill="1" applyBorder="1" applyAlignment="1">
      <alignment vertical="top" wrapText="1"/>
    </xf>
    <xf numFmtId="0" fontId="2" fillId="0" borderId="6" xfId="0" applyFont="1" applyBorder="1"/>
    <xf numFmtId="0" fontId="0" fillId="0" borderId="9" xfId="0" applyBorder="1" applyAlignment="1">
      <alignment vertical="top" wrapText="1"/>
    </xf>
    <xf numFmtId="0" fontId="0" fillId="0" borderId="9" xfId="0" quotePrefix="1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4" xfId="0" quotePrefix="1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6" xfId="0" quotePrefix="1" applyBorder="1" applyAlignment="1">
      <alignment vertical="top" wrapText="1"/>
    </xf>
    <xf numFmtId="0" fontId="0" fillId="0" borderId="17" xfId="0" quotePrefix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1" fillId="4" borderId="11" xfId="0" applyFont="1" applyFill="1" applyBorder="1" applyAlignment="1">
      <alignment vertical="top" wrapText="1"/>
    </xf>
    <xf numFmtId="0" fontId="1" fillId="4" borderId="12" xfId="0" applyFont="1" applyFill="1" applyBorder="1" applyAlignment="1">
      <alignment vertical="top" wrapText="1"/>
    </xf>
    <xf numFmtId="0" fontId="1" fillId="4" borderId="13" xfId="0" applyFont="1" applyFill="1" applyBorder="1" applyAlignment="1">
      <alignment horizontal="center" vertical="top" wrapText="1"/>
    </xf>
    <xf numFmtId="0" fontId="1" fillId="4" borderId="15" xfId="0" applyFont="1" applyFill="1" applyBorder="1" applyAlignment="1">
      <alignment horizontal="center" vertical="top" wrapText="1"/>
    </xf>
    <xf numFmtId="0" fontId="5" fillId="0" borderId="0" xfId="0" quotePrefix="1" applyFont="1" applyAlignment="1">
      <alignment vertical="top"/>
    </xf>
    <xf numFmtId="0" fontId="0" fillId="0" borderId="0" xfId="0" quotePrefix="1"/>
    <xf numFmtId="9" fontId="0" fillId="0" borderId="0" xfId="0" applyNumberFormat="1"/>
    <xf numFmtId="0" fontId="1" fillId="0" borderId="0" xfId="0" applyFont="1"/>
    <xf numFmtId="9" fontId="1" fillId="0" borderId="0" xfId="0" applyNumberFormat="1" applyFont="1"/>
    <xf numFmtId="0" fontId="6" fillId="0" borderId="0" xfId="0" applyFont="1"/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8E00"/>
      <color rgb="FFCC7900"/>
      <color rgb="FFFFEBCD"/>
      <color rgb="FFFFD08B"/>
      <color rgb="FFFFAE37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8</xdr:row>
      <xdr:rowOff>106680</xdr:rowOff>
    </xdr:from>
    <xdr:to>
      <xdr:col>4</xdr:col>
      <xdr:colOff>1355438</xdr:colOff>
      <xdr:row>17</xdr:row>
      <xdr:rowOff>175425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22029C-B56B-AE93-910C-EB7351795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" y="4320540"/>
          <a:ext cx="6255098" cy="17146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</xdr:colOff>
      <xdr:row>35</xdr:row>
      <xdr:rowOff>98946</xdr:rowOff>
    </xdr:from>
    <xdr:to>
      <xdr:col>9</xdr:col>
      <xdr:colOff>76771</xdr:colOff>
      <xdr:row>48</xdr:row>
      <xdr:rowOff>91720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A00DA4-7C71-9BF6-4C7C-C2D3B3131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" y="6499746"/>
          <a:ext cx="4846891" cy="2370214"/>
        </a:xfrm>
        <a:prstGeom prst="rect">
          <a:avLst/>
        </a:prstGeom>
      </xdr:spPr>
    </xdr:pic>
    <xdr:clientData/>
  </xdr:twoCellAnchor>
  <xdr:twoCellAnchor editAs="oneCell">
    <xdr:from>
      <xdr:col>11</xdr:col>
      <xdr:colOff>335280</xdr:colOff>
      <xdr:row>30</xdr:row>
      <xdr:rowOff>129540</xdr:rowOff>
    </xdr:from>
    <xdr:to>
      <xdr:col>16</xdr:col>
      <xdr:colOff>563880</xdr:colOff>
      <xdr:row>45</xdr:row>
      <xdr:rowOff>135405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056278-0ED3-23D2-E525-DB1C4EFF6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80960" y="5615940"/>
          <a:ext cx="3276600" cy="2749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7BCEF-D7E1-4119-B44E-A6000A00607E}">
  <dimension ref="A1:C31"/>
  <sheetViews>
    <sheetView workbookViewId="0">
      <selection activeCell="D15" sqref="D15"/>
    </sheetView>
  </sheetViews>
  <sheetFormatPr defaultColWidth="38.140625" defaultRowHeight="15" x14ac:dyDescent="0.25"/>
  <cols>
    <col min="1" max="1" width="13.28515625" style="1" customWidth="1"/>
    <col min="2" max="2" width="33.7109375" style="1" customWidth="1"/>
    <col min="3" max="16384" width="38.140625" style="1"/>
  </cols>
  <sheetData>
    <row r="1" spans="1:3" x14ac:dyDescent="0.25">
      <c r="A1" s="4" t="s">
        <v>0</v>
      </c>
      <c r="B1" s="5" t="s">
        <v>1</v>
      </c>
      <c r="C1" s="6" t="s">
        <v>2</v>
      </c>
    </row>
    <row r="2" spans="1:3" ht="30" x14ac:dyDescent="0.25">
      <c r="A2" s="7">
        <v>1</v>
      </c>
      <c r="B2" s="1" t="s">
        <v>3</v>
      </c>
      <c r="C2" s="8" t="s">
        <v>4</v>
      </c>
    </row>
    <row r="3" spans="1:3" ht="45.75" thickBot="1" x14ac:dyDescent="0.3">
      <c r="A3" s="9">
        <v>2</v>
      </c>
      <c r="B3" s="10" t="s">
        <v>5</v>
      </c>
      <c r="C3" s="11" t="s">
        <v>6</v>
      </c>
    </row>
    <row r="4" spans="1:3" ht="15.75" thickBot="1" x14ac:dyDescent="0.3"/>
    <row r="5" spans="1:3" ht="30" x14ac:dyDescent="0.25">
      <c r="A5" s="4" t="s">
        <v>7</v>
      </c>
      <c r="B5" s="5" t="s">
        <v>8</v>
      </c>
      <c r="C5" s="6" t="s">
        <v>2</v>
      </c>
    </row>
    <row r="6" spans="1:3" x14ac:dyDescent="0.25">
      <c r="A6" s="7"/>
      <c r="B6" s="1" t="s">
        <v>9</v>
      </c>
      <c r="C6" s="8" t="s">
        <v>10</v>
      </c>
    </row>
    <row r="7" spans="1:3" x14ac:dyDescent="0.25">
      <c r="A7" s="7"/>
      <c r="B7" s="1" t="s">
        <v>11</v>
      </c>
      <c r="C7" s="8" t="s">
        <v>12</v>
      </c>
    </row>
    <row r="8" spans="1:3" ht="15.75" thickBot="1" x14ac:dyDescent="0.3">
      <c r="A8" s="9"/>
      <c r="B8" s="10" t="s">
        <v>13</v>
      </c>
      <c r="C8" s="11" t="s">
        <v>14</v>
      </c>
    </row>
    <row r="9" spans="1:3" ht="15.75" thickBot="1" x14ac:dyDescent="0.3"/>
    <row r="10" spans="1:3" x14ac:dyDescent="0.25">
      <c r="A10" s="12" t="s">
        <v>8</v>
      </c>
      <c r="B10" s="19" t="s">
        <v>9</v>
      </c>
    </row>
    <row r="11" spans="1:3" x14ac:dyDescent="0.25">
      <c r="A11" s="14" t="s">
        <v>15</v>
      </c>
      <c r="B11" s="8" t="s">
        <v>16</v>
      </c>
    </row>
    <row r="12" spans="1:3" x14ac:dyDescent="0.25">
      <c r="A12" s="14" t="s">
        <v>17</v>
      </c>
      <c r="B12" s="8" t="s">
        <v>18</v>
      </c>
    </row>
    <row r="13" spans="1:3" x14ac:dyDescent="0.25">
      <c r="A13" s="14" t="s">
        <v>19</v>
      </c>
      <c r="B13" s="8" t="s">
        <v>20</v>
      </c>
    </row>
    <row r="14" spans="1:3" x14ac:dyDescent="0.25">
      <c r="A14" s="14" t="s">
        <v>21</v>
      </c>
      <c r="B14" s="8" t="s">
        <v>22</v>
      </c>
    </row>
    <row r="15" spans="1:3" x14ac:dyDescent="0.25">
      <c r="A15" s="14" t="s">
        <v>23</v>
      </c>
      <c r="B15" s="8" t="s">
        <v>23</v>
      </c>
    </row>
    <row r="16" spans="1:3" x14ac:dyDescent="0.25">
      <c r="A16" s="14" t="s">
        <v>24</v>
      </c>
      <c r="B16" s="8" t="s">
        <v>25</v>
      </c>
    </row>
    <row r="17" spans="1:2" ht="15.75" thickBot="1" x14ac:dyDescent="0.3">
      <c r="A17" s="20" t="s">
        <v>26</v>
      </c>
      <c r="B17" s="11" t="s">
        <v>27</v>
      </c>
    </row>
    <row r="18" spans="1:2" ht="15.75" thickBot="1" x14ac:dyDescent="0.3"/>
    <row r="19" spans="1:2" x14ac:dyDescent="0.25">
      <c r="A19" s="12"/>
      <c r="B19" s="19" t="s">
        <v>11</v>
      </c>
    </row>
    <row r="20" spans="1:2" x14ac:dyDescent="0.25">
      <c r="A20" s="14" t="s">
        <v>15</v>
      </c>
      <c r="B20" s="8" t="s">
        <v>28</v>
      </c>
    </row>
    <row r="21" spans="1:2" x14ac:dyDescent="0.25">
      <c r="A21" s="14" t="s">
        <v>29</v>
      </c>
      <c r="B21" s="8" t="s">
        <v>16</v>
      </c>
    </row>
    <row r="22" spans="1:2" x14ac:dyDescent="0.25">
      <c r="A22" s="14" t="s">
        <v>30</v>
      </c>
      <c r="B22" s="8" t="s">
        <v>31</v>
      </c>
    </row>
    <row r="23" spans="1:2" ht="15.75" thickBot="1" x14ac:dyDescent="0.3">
      <c r="A23" s="20" t="s">
        <v>32</v>
      </c>
      <c r="B23" s="18" t="s">
        <v>33</v>
      </c>
    </row>
    <row r="24" spans="1:2" ht="15.75" thickBot="1" x14ac:dyDescent="0.3"/>
    <row r="25" spans="1:2" x14ac:dyDescent="0.25">
      <c r="A25" s="12"/>
      <c r="B25" s="13" t="s">
        <v>13</v>
      </c>
    </row>
    <row r="26" spans="1:2" x14ac:dyDescent="0.25">
      <c r="A26" s="14" t="s">
        <v>15</v>
      </c>
      <c r="B26" s="15" t="s">
        <v>34</v>
      </c>
    </row>
    <row r="27" spans="1:2" x14ac:dyDescent="0.25">
      <c r="A27" s="16" t="s">
        <v>35</v>
      </c>
      <c r="B27" s="15"/>
    </row>
    <row r="28" spans="1:2" x14ac:dyDescent="0.25">
      <c r="A28" s="16" t="s">
        <v>36</v>
      </c>
      <c r="B28" s="15"/>
    </row>
    <row r="29" spans="1:2" x14ac:dyDescent="0.25">
      <c r="A29" s="14" t="s">
        <v>19</v>
      </c>
      <c r="B29" s="15"/>
    </row>
    <row r="30" spans="1:2" x14ac:dyDescent="0.25">
      <c r="A30" s="16" t="s">
        <v>21</v>
      </c>
      <c r="B30" s="15"/>
    </row>
    <row r="31" spans="1:2" ht="15.75" thickBot="1" x14ac:dyDescent="0.3">
      <c r="A31" s="17" t="s">
        <v>37</v>
      </c>
      <c r="B31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37C0-2632-4992-BFD0-9FF6FABDA883}">
  <dimension ref="A1:E8"/>
  <sheetViews>
    <sheetView workbookViewId="0">
      <selection activeCell="D4" sqref="D4"/>
    </sheetView>
  </sheetViews>
  <sheetFormatPr defaultColWidth="8.85546875" defaultRowHeight="15" x14ac:dyDescent="0.25"/>
  <cols>
    <col min="1" max="1" width="8.85546875" style="1"/>
    <col min="2" max="2" width="9.85546875" style="1" customWidth="1"/>
    <col min="3" max="3" width="26" style="1" customWidth="1"/>
    <col min="4" max="4" width="28.5703125" style="1" customWidth="1"/>
    <col min="5" max="5" width="26.42578125" style="1" customWidth="1"/>
    <col min="6" max="16384" width="8.85546875" style="1"/>
  </cols>
  <sheetData>
    <row r="1" spans="1:5" ht="28.9" customHeight="1" thickBot="1" x14ac:dyDescent="0.3">
      <c r="A1" s="39" t="s">
        <v>38</v>
      </c>
      <c r="B1" s="39"/>
      <c r="C1" s="39"/>
      <c r="D1" s="39"/>
      <c r="E1" s="39"/>
    </row>
    <row r="2" spans="1:5" x14ac:dyDescent="0.25">
      <c r="A2" s="28" t="s">
        <v>39</v>
      </c>
      <c r="B2" s="29" t="s">
        <v>40</v>
      </c>
      <c r="C2" s="29" t="s">
        <v>2</v>
      </c>
      <c r="D2" s="29" t="s">
        <v>41</v>
      </c>
      <c r="E2" s="30" t="s">
        <v>42</v>
      </c>
    </row>
    <row r="3" spans="1:5" ht="90" x14ac:dyDescent="0.25">
      <c r="A3" s="31" t="s">
        <v>43</v>
      </c>
      <c r="B3" s="21" t="s">
        <v>44</v>
      </c>
      <c r="C3" s="21" t="s">
        <v>45</v>
      </c>
      <c r="D3" s="22" t="s">
        <v>46</v>
      </c>
      <c r="E3" s="23" t="s">
        <v>47</v>
      </c>
    </row>
    <row r="4" spans="1:5" ht="90" x14ac:dyDescent="0.25">
      <c r="A4" s="31" t="s">
        <v>48</v>
      </c>
      <c r="B4" s="21" t="s">
        <v>49</v>
      </c>
      <c r="C4" s="21" t="s">
        <v>50</v>
      </c>
      <c r="D4" s="22" t="s">
        <v>51</v>
      </c>
      <c r="E4" s="24" t="s">
        <v>52</v>
      </c>
    </row>
    <row r="5" spans="1:5" ht="90.75" thickBot="1" x14ac:dyDescent="0.3">
      <c r="A5" s="32" t="s">
        <v>53</v>
      </c>
      <c r="B5" s="25" t="s">
        <v>54</v>
      </c>
      <c r="C5" s="25" t="s">
        <v>55</v>
      </c>
      <c r="D5" s="26" t="s">
        <v>56</v>
      </c>
      <c r="E5" s="27" t="s">
        <v>57</v>
      </c>
    </row>
    <row r="8" spans="1:5" x14ac:dyDescent="0.25">
      <c r="A8" s="33" t="s">
        <v>58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E405-EB07-4041-AD84-CD65CCCAD657}">
  <dimension ref="A1:S58"/>
  <sheetViews>
    <sheetView tabSelected="1" workbookViewId="0">
      <selection activeCell="O64" sqref="O64"/>
    </sheetView>
  </sheetViews>
  <sheetFormatPr defaultRowHeight="15" x14ac:dyDescent="0.25"/>
  <cols>
    <col min="10" max="10" width="11.85546875" bestFit="1" customWidth="1"/>
    <col min="11" max="11" width="15.28515625" bestFit="1" customWidth="1"/>
  </cols>
  <sheetData>
    <row r="1" spans="1:10" x14ac:dyDescent="0.25">
      <c r="A1" s="36" t="s">
        <v>59</v>
      </c>
    </row>
    <row r="2" spans="1:10" x14ac:dyDescent="0.25">
      <c r="A2">
        <v>1</v>
      </c>
      <c r="B2" t="s">
        <v>60</v>
      </c>
    </row>
    <row r="3" spans="1:10" x14ac:dyDescent="0.25">
      <c r="B3" t="s">
        <v>44</v>
      </c>
      <c r="C3" s="34" t="s">
        <v>61</v>
      </c>
      <c r="D3" t="s">
        <v>62</v>
      </c>
    </row>
    <row r="4" spans="1:10" x14ac:dyDescent="0.25">
      <c r="C4" s="34"/>
      <c r="D4" s="38" t="s">
        <v>63</v>
      </c>
    </row>
    <row r="5" spans="1:10" x14ac:dyDescent="0.25">
      <c r="B5" t="s">
        <v>49</v>
      </c>
      <c r="C5" s="34" t="s">
        <v>61</v>
      </c>
      <c r="D5" t="s">
        <v>64</v>
      </c>
    </row>
    <row r="6" spans="1:10" x14ac:dyDescent="0.25">
      <c r="B6" t="s">
        <v>54</v>
      </c>
      <c r="C6" s="34" t="s">
        <v>61</v>
      </c>
      <c r="D6" t="s">
        <v>65</v>
      </c>
    </row>
    <row r="7" spans="1:10" x14ac:dyDescent="0.25">
      <c r="A7">
        <v>2</v>
      </c>
      <c r="B7" t="s">
        <v>66</v>
      </c>
    </row>
    <row r="8" spans="1:10" x14ac:dyDescent="0.25">
      <c r="B8" t="s">
        <v>67</v>
      </c>
      <c r="C8" s="36" t="s">
        <v>68</v>
      </c>
      <c r="D8" s="36" t="s">
        <v>69</v>
      </c>
      <c r="E8" s="36"/>
      <c r="F8" s="37">
        <v>0.25</v>
      </c>
      <c r="G8" s="37">
        <v>0.5</v>
      </c>
      <c r="H8" s="37">
        <v>0.75</v>
      </c>
      <c r="J8" t="s">
        <v>70</v>
      </c>
    </row>
    <row r="9" spans="1:10" x14ac:dyDescent="0.25">
      <c r="A9" t="s">
        <v>43</v>
      </c>
      <c r="B9" t="s">
        <v>71</v>
      </c>
      <c r="C9">
        <v>1</v>
      </c>
      <c r="D9">
        <v>200</v>
      </c>
      <c r="F9">
        <f>$D$9*F8</f>
        <v>50</v>
      </c>
      <c r="G9">
        <f t="shared" ref="G9:H9" si="0">$D$9*G8</f>
        <v>100</v>
      </c>
      <c r="H9">
        <f t="shared" si="0"/>
        <v>150</v>
      </c>
    </row>
    <row r="10" spans="1:10" x14ac:dyDescent="0.25">
      <c r="A10" t="s">
        <v>48</v>
      </c>
      <c r="B10" t="s">
        <v>72</v>
      </c>
    </row>
    <row r="11" spans="1:10" x14ac:dyDescent="0.25">
      <c r="A11" t="s">
        <v>53</v>
      </c>
      <c r="B11" t="s">
        <v>72</v>
      </c>
    </row>
    <row r="13" spans="1:10" x14ac:dyDescent="0.25">
      <c r="B13" s="34" t="s">
        <v>73</v>
      </c>
    </row>
    <row r="14" spans="1:10" x14ac:dyDescent="0.25">
      <c r="B14" t="s">
        <v>74</v>
      </c>
      <c r="C14" t="s">
        <v>75</v>
      </c>
      <c r="D14" t="s">
        <v>76</v>
      </c>
    </row>
    <row r="15" spans="1:10" x14ac:dyDescent="0.25">
      <c r="B15" t="s">
        <v>43</v>
      </c>
      <c r="C15">
        <v>30</v>
      </c>
      <c r="D15" t="s">
        <v>77</v>
      </c>
    </row>
    <row r="16" spans="1:10" x14ac:dyDescent="0.25">
      <c r="B16" t="s">
        <v>48</v>
      </c>
      <c r="C16">
        <v>10</v>
      </c>
      <c r="D16" t="s">
        <v>78</v>
      </c>
      <c r="E16" s="36" t="s">
        <v>79</v>
      </c>
      <c r="F16" s="36">
        <v>342</v>
      </c>
    </row>
    <row r="17" spans="1:11" x14ac:dyDescent="0.25">
      <c r="B17" t="s">
        <v>53</v>
      </c>
      <c r="C17">
        <v>100000</v>
      </c>
      <c r="D17" t="s">
        <v>80</v>
      </c>
    </row>
    <row r="19" spans="1:11" x14ac:dyDescent="0.25">
      <c r="C19" t="s">
        <v>72</v>
      </c>
      <c r="E19" t="s">
        <v>79</v>
      </c>
      <c r="F19">
        <v>113</v>
      </c>
      <c r="J19" s="36" t="s">
        <v>81</v>
      </c>
      <c r="K19" s="36" t="s">
        <v>82</v>
      </c>
    </row>
    <row r="20" spans="1:11" x14ac:dyDescent="0.25">
      <c r="C20" t="s">
        <v>72</v>
      </c>
      <c r="F20">
        <v>242</v>
      </c>
      <c r="I20" t="s">
        <v>43</v>
      </c>
      <c r="J20" t="s">
        <v>83</v>
      </c>
      <c r="K20" t="s">
        <v>83</v>
      </c>
    </row>
    <row r="21" spans="1:11" x14ac:dyDescent="0.25">
      <c r="F21">
        <v>322</v>
      </c>
      <c r="I21" t="s">
        <v>48</v>
      </c>
      <c r="J21" t="s">
        <v>83</v>
      </c>
      <c r="K21" t="s">
        <v>84</v>
      </c>
    </row>
    <row r="22" spans="1:11" x14ac:dyDescent="0.25">
      <c r="F22">
        <v>412</v>
      </c>
      <c r="I22" t="s">
        <v>53</v>
      </c>
      <c r="J22" t="s">
        <v>83</v>
      </c>
      <c r="K22" t="s">
        <v>83</v>
      </c>
    </row>
    <row r="23" spans="1:11" x14ac:dyDescent="0.25">
      <c r="F23" t="s">
        <v>72</v>
      </c>
      <c r="J23" s="36" t="s">
        <v>85</v>
      </c>
      <c r="K23" s="36" t="s">
        <v>86</v>
      </c>
    </row>
    <row r="24" spans="1:11" x14ac:dyDescent="0.25">
      <c r="F24" s="34" t="s">
        <v>87</v>
      </c>
      <c r="I24" t="s">
        <v>43</v>
      </c>
      <c r="J24" t="s">
        <v>88</v>
      </c>
      <c r="K24" t="s">
        <v>84</v>
      </c>
    </row>
    <row r="25" spans="1:11" x14ac:dyDescent="0.25">
      <c r="I25" t="s">
        <v>48</v>
      </c>
      <c r="J25" t="s">
        <v>83</v>
      </c>
      <c r="K25" t="s">
        <v>84</v>
      </c>
    </row>
    <row r="26" spans="1:11" x14ac:dyDescent="0.25">
      <c r="F26">
        <v>212</v>
      </c>
      <c r="G26" s="35">
        <v>0.6</v>
      </c>
      <c r="I26" t="s">
        <v>53</v>
      </c>
      <c r="J26" t="s">
        <v>84</v>
      </c>
      <c r="K26" t="s">
        <v>84</v>
      </c>
    </row>
    <row r="27" spans="1:11" x14ac:dyDescent="0.25">
      <c r="F27">
        <v>311</v>
      </c>
      <c r="G27" s="35">
        <v>0.2</v>
      </c>
    </row>
    <row r="28" spans="1:11" x14ac:dyDescent="0.25">
      <c r="F28">
        <v>424</v>
      </c>
      <c r="G28" s="35">
        <v>0.1</v>
      </c>
    </row>
    <row r="29" spans="1:11" x14ac:dyDescent="0.25">
      <c r="F29">
        <v>312</v>
      </c>
      <c r="G29" s="35">
        <v>0.1</v>
      </c>
    </row>
    <row r="31" spans="1:11" x14ac:dyDescent="0.25">
      <c r="A31" s="34" t="s">
        <v>89</v>
      </c>
      <c r="B31" t="s">
        <v>90</v>
      </c>
    </row>
    <row r="32" spans="1:11" x14ac:dyDescent="0.25">
      <c r="B32" t="s">
        <v>91</v>
      </c>
      <c r="C32" t="s">
        <v>92</v>
      </c>
    </row>
    <row r="33" spans="1:19" x14ac:dyDescent="0.25">
      <c r="B33" t="s">
        <v>93</v>
      </c>
      <c r="C33" t="s">
        <v>94</v>
      </c>
    </row>
    <row r="35" spans="1:19" x14ac:dyDescent="0.25">
      <c r="A35" t="s">
        <v>95</v>
      </c>
    </row>
    <row r="36" spans="1:19" x14ac:dyDescent="0.25">
      <c r="K36">
        <v>2</v>
      </c>
    </row>
    <row r="37" spans="1:19" x14ac:dyDescent="0.25">
      <c r="A37">
        <v>1</v>
      </c>
    </row>
    <row r="38" spans="1:19" x14ac:dyDescent="0.25">
      <c r="S38" t="s">
        <v>96</v>
      </c>
    </row>
    <row r="39" spans="1:19" x14ac:dyDescent="0.25">
      <c r="R39" s="34" t="s">
        <v>97</v>
      </c>
    </row>
    <row r="40" spans="1:19" x14ac:dyDescent="0.25">
      <c r="R40" s="34" t="s">
        <v>98</v>
      </c>
    </row>
    <row r="41" spans="1:19" x14ac:dyDescent="0.25">
      <c r="R41" s="34" t="s">
        <v>99</v>
      </c>
    </row>
    <row r="50" spans="1:18" x14ac:dyDescent="0.25">
      <c r="B50" t="s">
        <v>100</v>
      </c>
    </row>
    <row r="55" spans="1:18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x14ac:dyDescent="0.25">
      <c r="A57" s="2"/>
      <c r="B57" s="2"/>
      <c r="C57" s="3"/>
      <c r="D57" s="2"/>
      <c r="E57" s="3"/>
      <c r="F57" s="3"/>
      <c r="G57" s="2"/>
      <c r="H57" s="3"/>
      <c r="I57" s="3"/>
      <c r="J57" s="3"/>
      <c r="K57" s="3"/>
      <c r="L57" s="3"/>
      <c r="M57" s="3"/>
      <c r="N57" s="2"/>
      <c r="O57" s="3"/>
      <c r="P57" s="3"/>
      <c r="Q57" s="3"/>
      <c r="R57" s="3"/>
    </row>
    <row r="58" spans="1:18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</vt:lpstr>
      <vt:lpstr>Description</vt:lpstr>
      <vt:lpstr>Process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11</dc:creator>
  <cp:keywords/>
  <dc:description/>
  <cp:lastModifiedBy>Anh Pham</cp:lastModifiedBy>
  <cp:revision/>
  <dcterms:created xsi:type="dcterms:W3CDTF">2023-07-06T16:01:56Z</dcterms:created>
  <dcterms:modified xsi:type="dcterms:W3CDTF">2025-10-30T03:11:16Z</dcterms:modified>
  <cp:category/>
  <cp:contentStatus/>
</cp:coreProperties>
</file>